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2336199B-09CB-48C0-B34A-826EC4ABE899}" xr6:coauthVersionLast="37" xr6:coauthVersionMax="37" xr10:uidLastSave="{00000000-0000-0000-0000-000000000000}"/>
  <bookViews>
    <workbookView xWindow="0" yWindow="0" windowWidth="23040" windowHeight="10548" xr2:uid="{ABE1A3A2-546C-4591-8CB1-CF2264997E5C}"/>
  </bookViews>
  <sheets>
    <sheet name="Sheet1" sheetId="1" r:id="rId1"/>
  </sheets>
  <externalReferences>
    <externalReference r:id="rId2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4" i="1" l="1"/>
  <c r="J35" i="1"/>
  <c r="J45" i="1" s="1"/>
  <c r="O15" i="1" s="1"/>
  <c r="Q29" i="1"/>
  <c r="Q30" i="1" s="1"/>
  <c r="P29" i="1"/>
  <c r="M29" i="1"/>
  <c r="Q28" i="1"/>
  <c r="P28" i="1"/>
  <c r="O28" i="1"/>
  <c r="O29" i="1" s="1"/>
  <c r="N28" i="1"/>
  <c r="N29" i="1" s="1"/>
  <c r="M28" i="1"/>
  <c r="H24" i="1"/>
  <c r="G24" i="1"/>
  <c r="F24" i="1"/>
  <c r="F21" i="1" s="1"/>
  <c r="E24" i="1"/>
  <c r="E21" i="1" s="1"/>
  <c r="E20" i="1" s="1"/>
  <c r="P21" i="1"/>
  <c r="I25" i="1" s="1"/>
  <c r="I23" i="1" s="1"/>
  <c r="I20" i="1" s="1"/>
  <c r="O21" i="1"/>
  <c r="H25" i="1" s="1"/>
  <c r="H23" i="1" s="1"/>
  <c r="L21" i="1"/>
  <c r="E25" i="1" s="1"/>
  <c r="E23" i="1" s="1"/>
  <c r="K21" i="1"/>
  <c r="J21" i="1"/>
  <c r="I21" i="1"/>
  <c r="H21" i="1"/>
  <c r="G21" i="1"/>
  <c r="R20" i="1"/>
  <c r="R21" i="1" s="1"/>
  <c r="Q20" i="1"/>
  <c r="Q21" i="1" s="1"/>
  <c r="J25" i="1" s="1"/>
  <c r="P20" i="1"/>
  <c r="O20" i="1"/>
  <c r="N20" i="1"/>
  <c r="M20" i="1"/>
  <c r="L20" i="1"/>
  <c r="I19" i="1"/>
  <c r="H19" i="1"/>
  <c r="G19" i="1"/>
  <c r="F19" i="1"/>
  <c r="E19" i="1"/>
  <c r="K18" i="1"/>
  <c r="J18" i="1"/>
  <c r="I18" i="1"/>
  <c r="H18" i="1"/>
  <c r="G18" i="1"/>
  <c r="F18" i="1"/>
  <c r="E18" i="1"/>
  <c r="R15" i="1"/>
  <c r="J15" i="1"/>
  <c r="G53" i="1" s="1"/>
  <c r="J26" i="1" l="1"/>
  <c r="J41" i="1" s="1"/>
  <c r="J23" i="1"/>
  <c r="J20" i="1" s="1"/>
  <c r="O30" i="1"/>
  <c r="N21" i="1"/>
  <c r="P30" i="1"/>
  <c r="R22" i="1"/>
  <c r="K25" i="1"/>
  <c r="K23" i="1" s="1"/>
  <c r="K20" i="1" s="1"/>
  <c r="H20" i="1"/>
  <c r="N30" i="1"/>
  <c r="M21" i="1"/>
  <c r="P22" i="1"/>
  <c r="G25" i="1" l="1"/>
  <c r="N22" i="1"/>
  <c r="O22" i="1"/>
  <c r="M22" i="1"/>
  <c r="F25" i="1"/>
  <c r="F23" i="1" s="1"/>
  <c r="F20" i="1" s="1"/>
  <c r="M15" i="1"/>
  <c r="J40" i="1" l="1"/>
  <c r="G23" i="1"/>
  <c r="G20" i="1" s="1"/>
  <c r="N37" i="1" l="1"/>
  <c r="J42" i="1"/>
  <c r="L15" i="1"/>
  <c r="N39" i="1"/>
  <c r="K48" i="1"/>
  <c r="H48" i="1" s="1"/>
  <c r="P15" i="1" s="1"/>
  <c r="P37" i="1" l="1"/>
  <c r="N15" i="1"/>
  <c r="J44" i="1"/>
  <c r="P39" i="1"/>
  <c r="N44" i="1"/>
  <c r="M41" i="1"/>
</calcChain>
</file>

<file path=xl/sharedStrings.xml><?xml version="1.0" encoding="utf-8"?>
<sst xmlns="http://schemas.openxmlformats.org/spreadsheetml/2006/main" count="63" uniqueCount="52">
  <si>
    <t>ATTERBERG LIMITS (BS 1377 PART 2, 4.3 : 1990)</t>
  </si>
  <si>
    <t>Client name:</t>
  </si>
  <si>
    <t>NILIUS KARANJA</t>
  </si>
  <si>
    <t>Project/Site name:</t>
  </si>
  <si>
    <t>PROPOSED CONSTRUCTION OF A PERIMETER WALL</t>
  </si>
  <si>
    <t>Sampled and submitted by:</t>
  </si>
  <si>
    <t>CRANSFIELD</t>
  </si>
  <si>
    <t>Date submitted:</t>
  </si>
  <si>
    <t>Date tested:</t>
  </si>
  <si>
    <t>-</t>
  </si>
  <si>
    <t>Sample ID:</t>
  </si>
  <si>
    <t>BH1</t>
  </si>
  <si>
    <t>Sample depth (M):</t>
  </si>
  <si>
    <t>1.0-6.4</t>
  </si>
  <si>
    <t>Sample No:</t>
  </si>
  <si>
    <t>PLASTIC LIMIT</t>
  </si>
  <si>
    <t>PR</t>
  </si>
  <si>
    <t>MG</t>
  </si>
  <si>
    <t>Container No</t>
  </si>
  <si>
    <t>Penetration (mm)</t>
  </si>
  <si>
    <t>Wt of Container + Wet Soil (g)</t>
  </si>
  <si>
    <t>Wt of Container + Dry Soil (g)</t>
  </si>
  <si>
    <t>Wt of Container (g)</t>
  </si>
  <si>
    <t>Wt of Moisture (g)</t>
  </si>
  <si>
    <t>Wt of Dry Soil (g)</t>
  </si>
  <si>
    <t>TR</t>
  </si>
  <si>
    <t>DF</t>
  </si>
  <si>
    <t>SD</t>
  </si>
  <si>
    <t>AS</t>
  </si>
  <si>
    <t>SDF</t>
  </si>
  <si>
    <t>Moisture Content (%)</t>
  </si>
  <si>
    <t>LINEAR SHRINKAGE</t>
  </si>
  <si>
    <t>Initial length                                 (mm)</t>
  </si>
  <si>
    <t>Final length                                   (mm)</t>
  </si>
  <si>
    <t>Shrinkage                                           (%)</t>
  </si>
  <si>
    <t>A-7-5</t>
  </si>
  <si>
    <t>≥</t>
  </si>
  <si>
    <t>A-7-6</t>
  </si>
  <si>
    <t>≤</t>
  </si>
  <si>
    <t>LIQUID LIMIT                                    (%)</t>
  </si>
  <si>
    <t>PLASTIC LIMIT                                  (%)</t>
  </si>
  <si>
    <t>PLASTICITY INDEX                          (%)</t>
  </si>
  <si>
    <t>Passing 425 µm                               (%)</t>
  </si>
  <si>
    <t>MODULAS OF PLASTICITY</t>
  </si>
  <si>
    <t>LINEAR SHRINKAGE                       (%)</t>
  </si>
  <si>
    <t>SOIL CLASSIFICATION</t>
  </si>
  <si>
    <t>USCS</t>
  </si>
  <si>
    <t>AASHTO</t>
  </si>
  <si>
    <t>Tested by:</t>
  </si>
  <si>
    <t>JOAN NJOGU</t>
  </si>
  <si>
    <t>Date reported</t>
  </si>
  <si>
    <t>Checked by:_____________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</si>
</sst>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b/>
      <sz val="9"/>
      <color rgb="FF0070C0"/>
      <name val="Arial Rounded MT Bold"/>
      <family val="2"/>
    </font>
    <font>
      <b/>
      <u val="double"/>
      <sz val="8"/>
      <color rgb="FF7F7F7F"/>
      <name val="Arial Rounded MT Bold"/>
      <family val="2"/>
    </font>
    <font>
      <b/>
      <sz val="9"/>
      <color theme="3" tint="-0.249977111117893"/>
      <name val="Arial Rounded MT Bold"/>
      <family val="2"/>
    </font>
    <font>
      <b/>
      <sz val="8"/>
      <color indexed="12"/>
      <name val="Times New Roman"/>
      <family val="1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CC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8" xfId="0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0" fontId="9" fillId="2" borderId="8" xfId="0" applyFont="1" applyFill="1" applyBorder="1" applyAlignment="1">
      <alignment horizontal="right" vertical="center"/>
    </xf>
    <xf numFmtId="2" fontId="0" fillId="0" borderId="0" xfId="0" applyNumberFormat="1"/>
    <xf numFmtId="0" fontId="12" fillId="3" borderId="5" xfId="0" applyFont="1" applyFill="1" applyBorder="1" applyAlignment="1">
      <alignment horizontal="center" vertical="center"/>
    </xf>
    <xf numFmtId="165" fontId="12" fillId="0" borderId="8" xfId="0" applyNumberFormat="1" applyFont="1" applyBorder="1" applyAlignment="1">
      <alignment horizontal="center" vertical="center"/>
    </xf>
    <xf numFmtId="0" fontId="9" fillId="2" borderId="7" xfId="0" applyFont="1" applyFill="1" applyBorder="1" applyAlignment="1">
      <alignment horizontal="right"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6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5" fillId="0" borderId="8" xfId="0" applyNumberFormat="1" applyFont="1" applyBorder="1" applyAlignment="1">
      <alignment horizontal="center" vertical="center"/>
    </xf>
    <xf numFmtId="165" fontId="16" fillId="0" borderId="8" xfId="0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165" fontId="17" fillId="0" borderId="8" xfId="0" applyNumberFormat="1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2" fontId="15" fillId="0" borderId="9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0" fontId="0" fillId="0" borderId="6" xfId="0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3" xfId="0" applyBorder="1"/>
    <xf numFmtId="2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0" borderId="8" xfId="0" applyFont="1" applyBorder="1" applyAlignment="1"/>
    <xf numFmtId="0" fontId="2" fillId="2" borderId="15" xfId="0" applyFont="1" applyFill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2" fillId="0" borderId="10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0" xfId="0" applyFont="1" applyAlignment="1">
      <alignment horizontal="right"/>
    </xf>
    <xf numFmtId="0" fontId="2" fillId="0" borderId="11" xfId="0" applyFon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8" fillId="0" borderId="0" xfId="0" applyFont="1" applyAlignment="1">
      <alignment horizontal="left"/>
    </xf>
    <xf numFmtId="164" fontId="12" fillId="0" borderId="5" xfId="0" applyNumberFormat="1" applyFont="1" applyBorder="1" applyAlignment="1">
      <alignment horizontal="center" vertical="center"/>
    </xf>
    <xf numFmtId="164" fontId="12" fillId="0" borderId="7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165" fontId="2" fillId="0" borderId="5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1" fontId="2" fillId="0" borderId="5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2" borderId="5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right" vertical="center"/>
    </xf>
    <xf numFmtId="0" fontId="9" fillId="2" borderId="7" xfId="0" applyFont="1" applyFill="1" applyBorder="1" applyAlignment="1">
      <alignment horizontal="right" vertical="center"/>
    </xf>
    <xf numFmtId="0" fontId="13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669619422572178"/>
          <c:y val="9.4598672548130439E-2"/>
          <c:w val="0.67460433070866155"/>
          <c:h val="0.78654738838273486"/>
        </c:manualLayout>
      </c:layout>
      <c:scatterChart>
        <c:scatterStyle val="smoothMarker"/>
        <c:varyColors val="0"/>
        <c:ser>
          <c:idx val="0"/>
          <c:order val="0"/>
          <c:spPr>
            <a:ln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noFill/>
              </a:ln>
            </c:spPr>
          </c:marker>
          <c:trendline>
            <c:spPr>
              <a:ln w="25400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[1]Sheet2!$E$19:$I$19</c:f>
              <c:numCache>
                <c:formatCode>General</c:formatCode>
                <c:ptCount val="5"/>
                <c:pt idx="0">
                  <c:v>15.77</c:v>
                </c:pt>
                <c:pt idx="1">
                  <c:v>17.850000000000001</c:v>
                </c:pt>
                <c:pt idx="2">
                  <c:v>20.100000000000001</c:v>
                </c:pt>
                <c:pt idx="3">
                  <c:v>21.9</c:v>
                </c:pt>
                <c:pt idx="4">
                  <c:v>24.3</c:v>
                </c:pt>
              </c:numCache>
            </c:numRef>
          </c:xVal>
          <c:yVal>
            <c:numRef>
              <c:f>[1]Sheet2!$E$25:$I$25</c:f>
              <c:numCache>
                <c:formatCode>General</c:formatCode>
                <c:ptCount val="5"/>
                <c:pt idx="0">
                  <c:v>71.666666666666657</c:v>
                </c:pt>
                <c:pt idx="1">
                  <c:v>73.73417721518986</c:v>
                </c:pt>
                <c:pt idx="2">
                  <c:v>75.906183368869918</c:v>
                </c:pt>
                <c:pt idx="3">
                  <c:v>78.343949044585997</c:v>
                </c:pt>
                <c:pt idx="4">
                  <c:v>80.645161290322577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FCF-43AD-956B-90F8A58B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13088"/>
        <c:axId val="103114624"/>
      </c:scatterChart>
      <c:valAx>
        <c:axId val="103113088"/>
        <c:scaling>
          <c:orientation val="minMax"/>
          <c:max val="25"/>
          <c:min val="15"/>
        </c:scaling>
        <c:delete val="0"/>
        <c:axPos val="b"/>
        <c:majorGridlines>
          <c:spPr>
            <a:ln>
              <a:solidFill>
                <a:schemeClr val="tx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03114624"/>
        <c:crosses val="autoZero"/>
        <c:crossBetween val="midCat"/>
        <c:majorUnit val="2"/>
        <c:minorUnit val="1"/>
      </c:valAx>
      <c:valAx>
        <c:axId val="103114624"/>
        <c:scaling>
          <c:orientation val="minMax"/>
          <c:max val="81"/>
          <c:min val="71"/>
        </c:scaling>
        <c:delete val="0"/>
        <c:axPos val="l"/>
        <c:majorGridlines>
          <c:spPr>
            <a:ln>
              <a:solidFill>
                <a:schemeClr val="tx1"/>
              </a:solidFill>
            </a:ln>
          </c:spPr>
        </c:majorGridlines>
        <c:minorGridlines>
          <c:spPr>
            <a:ln>
              <a:noFill/>
            </a:ln>
          </c:spPr>
        </c:minorGridlines>
        <c:numFmt formatCode="General" sourceLinked="1"/>
        <c:majorTickMark val="out"/>
        <c:minorTickMark val="none"/>
        <c:tickLblPos val="nextTo"/>
        <c:crossAx val="103113088"/>
        <c:crosses val="autoZero"/>
        <c:crossBetween val="midCat"/>
        <c:majorUnit val="3"/>
        <c:minorUnit val="1"/>
      </c:valAx>
      <c:spPr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>
      <a:solidFill>
        <a:schemeClr val="tx1"/>
      </a:solidFill>
    </a:ln>
  </c:spPr>
  <c:printSettings>
    <c:headerFooter/>
    <c:pageMargins b="0.75" l="0.7" r="0.7" t="0.75" header="0.3" footer="0.3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4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9524</xdr:rowOff>
    </xdr:from>
    <xdr:to>
      <xdr:col>5</xdr:col>
      <xdr:colOff>571500</xdr:colOff>
      <xdr:row>48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F85A6-F098-4E50-84F1-9E06C1888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156503</xdr:colOff>
      <xdr:row>1</xdr:row>
      <xdr:rowOff>64280</xdr:rowOff>
    </xdr:from>
    <xdr:ext cx="3035846" cy="1149601"/>
    <xdr:pic>
      <xdr:nvPicPr>
        <xdr:cNvPr id="3" name="Picture 2">
          <a:extLst>
            <a:ext uri="{FF2B5EF4-FFF2-40B4-BE49-F238E27FC236}">
              <a16:creationId xmlns:a16="http://schemas.microsoft.com/office/drawing/2014/main" id="{B0B469BF-5312-45F5-A37A-56880A132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503" y="247160"/>
          <a:ext cx="3035846" cy="1149601"/>
        </a:xfrm>
        <a:prstGeom prst="rect">
          <a:avLst/>
        </a:prstGeom>
      </xdr:spPr>
    </xdr:pic>
    <xdr:clientData/>
  </xdr:oneCellAnchor>
  <xdr:oneCellAnchor>
    <xdr:from>
      <xdr:col>8</xdr:col>
      <xdr:colOff>110596</xdr:colOff>
      <xdr:row>1</xdr:row>
      <xdr:rowOff>175710</xdr:rowOff>
    </xdr:from>
    <xdr:ext cx="2145850" cy="1179345"/>
    <xdr:pic>
      <xdr:nvPicPr>
        <xdr:cNvPr id="4" name="Picture 3">
          <a:extLst>
            <a:ext uri="{FF2B5EF4-FFF2-40B4-BE49-F238E27FC236}">
              <a16:creationId xmlns:a16="http://schemas.microsoft.com/office/drawing/2014/main" id="{3F20FDE5-13EB-4CAB-9994-5AD10E9E5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09316" y="358590"/>
          <a:ext cx="2145850" cy="1179345"/>
        </a:xfrm>
        <a:prstGeom prst="rect">
          <a:avLst/>
        </a:prstGeom>
      </xdr:spPr>
    </xdr:pic>
    <xdr:clientData/>
  </xdr:oneCellAnchor>
  <xdr:oneCellAnchor>
    <xdr:from>
      <xdr:col>8</xdr:col>
      <xdr:colOff>532412</xdr:colOff>
      <xdr:row>48</xdr:row>
      <xdr:rowOff>12738</xdr:rowOff>
    </xdr:from>
    <xdr:ext cx="1391723" cy="1380526"/>
    <xdr:pic>
      <xdr:nvPicPr>
        <xdr:cNvPr id="5" name="Picture 4">
          <a:extLst>
            <a:ext uri="{FF2B5EF4-FFF2-40B4-BE49-F238E27FC236}">
              <a16:creationId xmlns:a16="http://schemas.microsoft.com/office/drawing/2014/main" id="{7DF8446E-C612-4B96-870C-B867D0BCD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09212" y="8882418"/>
          <a:ext cx="1391723" cy="1380526"/>
        </a:xfrm>
        <a:prstGeom prst="rect">
          <a:avLst/>
        </a:prstGeom>
      </xdr:spPr>
    </xdr:pic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0.27108</cdr:x>
      <cdr:y>0.93553</cdr:y>
    </cdr:from>
    <cdr:to>
      <cdr:x>0.66244</cdr:x>
      <cdr:y>1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66E96403-D657-8A0B-4E1D-071760D909A9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57250" y="3715871"/>
          <a:ext cx="1237595" cy="256054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3.28084E-7</cdr:x>
      <cdr:y>0.315</cdr:y>
    </cdr:from>
    <cdr:to>
      <cdr:x>0.08097</cdr:x>
      <cdr:y>0.68952</cdr:y>
    </cdr:to>
    <cdr:pic>
      <cdr:nvPicPr>
        <cdr:cNvPr id="4" name="chart">
          <a:extLst xmlns:a="http://schemas.openxmlformats.org/drawingml/2006/main">
            <a:ext uri="{FF2B5EF4-FFF2-40B4-BE49-F238E27FC236}">
              <a16:creationId xmlns:a16="http://schemas.microsoft.com/office/drawing/2014/main" id="{AC0227AC-0D9A-D787-8172-29D597FC82F4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cdr:blipFill>
      <cdr:spPr>
        <a:xfrm xmlns:a="http://schemas.openxmlformats.org/drawingml/2006/main" rot="16200000">
          <a:off x="-620384" y="1871542"/>
          <a:ext cx="1487566" cy="246795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aster%20%20A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>
        <row r="19">
          <cell r="E19">
            <v>15.77</v>
          </cell>
          <cell r="F19">
            <v>17.850000000000001</v>
          </cell>
          <cell r="G19">
            <v>20.100000000000001</v>
          </cell>
          <cell r="H19">
            <v>21.9</v>
          </cell>
          <cell r="I19">
            <v>24.3</v>
          </cell>
        </row>
        <row r="25">
          <cell r="E25">
            <v>71.666666666666657</v>
          </cell>
          <cell r="F25">
            <v>73.73417721518986</v>
          </cell>
          <cell r="G25">
            <v>75.906183368869918</v>
          </cell>
          <cell r="H25">
            <v>78.343949044585997</v>
          </cell>
          <cell r="I25">
            <v>80.645161290322577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1EA0-D41B-4FFA-B190-00B3C65EEF82}">
  <dimension ref="B2:R55"/>
  <sheetViews>
    <sheetView tabSelected="1" topLeftCell="A28" workbookViewId="0">
      <selection activeCell="O22" sqref="O22"/>
    </sheetView>
  </sheetViews>
  <sheetFormatPr defaultRowHeight="14.4" x14ac:dyDescent="0.3"/>
  <sheetData>
    <row r="2" spans="2:18" ht="15.6" x14ac:dyDescent="0.3">
      <c r="J2" s="1"/>
      <c r="K2" s="1"/>
      <c r="L2" s="1"/>
      <c r="M2" s="1"/>
      <c r="N2" s="1"/>
      <c r="O2" s="1"/>
      <c r="P2" s="1"/>
      <c r="Q2" s="1"/>
      <c r="R2" s="1"/>
    </row>
    <row r="3" spans="2:18" ht="15.6" x14ac:dyDescent="0.3">
      <c r="C3" s="102"/>
      <c r="D3" s="102"/>
      <c r="E3" s="102"/>
      <c r="F3" s="102"/>
      <c r="G3" s="102"/>
      <c r="H3" s="102"/>
      <c r="I3" s="1"/>
      <c r="J3" s="2"/>
      <c r="K3" s="2"/>
      <c r="L3" s="2"/>
      <c r="N3" s="2"/>
      <c r="O3" s="2"/>
      <c r="P3" s="2"/>
      <c r="Q3" s="2"/>
      <c r="R3" s="2"/>
    </row>
    <row r="4" spans="2:18" x14ac:dyDescent="0.3">
      <c r="C4" s="2"/>
      <c r="D4" s="2"/>
      <c r="E4" s="2"/>
      <c r="F4" s="2"/>
      <c r="G4" s="2"/>
      <c r="H4" s="2"/>
      <c r="I4" s="2"/>
      <c r="J4" s="3"/>
    </row>
    <row r="5" spans="2:18" x14ac:dyDescent="0.3"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5"/>
      <c r="Q5" s="5"/>
      <c r="R5" s="5"/>
    </row>
    <row r="6" spans="2:18" x14ac:dyDescent="0.3">
      <c r="C6" s="4"/>
      <c r="D6" s="4"/>
      <c r="E6" s="4"/>
      <c r="F6" s="4"/>
      <c r="G6" s="4"/>
      <c r="H6" s="4"/>
      <c r="I6" s="4"/>
      <c r="J6" s="4"/>
      <c r="K6" s="4"/>
      <c r="L6" s="4"/>
      <c r="N6" s="4"/>
      <c r="O6" s="4"/>
      <c r="P6" s="4"/>
      <c r="Q6" s="5"/>
      <c r="R6" s="5"/>
    </row>
    <row r="10" spans="2:18" ht="15.6" x14ac:dyDescent="0.3">
      <c r="B10" s="103" t="s">
        <v>0</v>
      </c>
      <c r="C10" s="103"/>
      <c r="D10" s="103"/>
      <c r="E10" s="103"/>
      <c r="F10" s="103"/>
      <c r="G10" s="103"/>
      <c r="H10" s="103"/>
      <c r="I10" s="103"/>
      <c r="J10" s="103"/>
      <c r="K10" s="103"/>
    </row>
    <row r="11" spans="2:18" ht="15.6" x14ac:dyDescent="0.3">
      <c r="B11" s="6"/>
      <c r="C11" s="6"/>
      <c r="D11" s="6"/>
      <c r="E11" s="6"/>
      <c r="F11" s="6"/>
      <c r="G11" s="6"/>
      <c r="H11" s="6"/>
      <c r="J11" s="6"/>
      <c r="K11" s="6"/>
    </row>
    <row r="12" spans="2:18" ht="15.6" x14ac:dyDescent="0.3">
      <c r="I12" s="6"/>
    </row>
    <row r="13" spans="2:18" x14ac:dyDescent="0.3">
      <c r="B13" s="104" t="s">
        <v>1</v>
      </c>
      <c r="C13" s="105"/>
      <c r="D13" s="106"/>
      <c r="E13" s="107" t="s">
        <v>2</v>
      </c>
      <c r="F13" s="107"/>
      <c r="G13" s="107"/>
      <c r="H13" s="107"/>
      <c r="I13" s="107"/>
      <c r="J13" s="107"/>
      <c r="K13" s="107"/>
    </row>
    <row r="14" spans="2:18" x14ac:dyDescent="0.3">
      <c r="B14" s="104" t="s">
        <v>3</v>
      </c>
      <c r="C14" s="105"/>
      <c r="D14" s="106"/>
      <c r="E14" s="108" t="s">
        <v>4</v>
      </c>
      <c r="F14" s="109"/>
      <c r="G14" s="109"/>
      <c r="H14" s="109"/>
      <c r="I14" s="109"/>
      <c r="J14" s="109"/>
      <c r="K14" s="110"/>
    </row>
    <row r="15" spans="2:18" x14ac:dyDescent="0.3">
      <c r="B15" s="95" t="s">
        <v>5</v>
      </c>
      <c r="C15" s="96"/>
      <c r="D15" s="97"/>
      <c r="E15" s="7" t="s">
        <v>6</v>
      </c>
      <c r="F15" s="98" t="s">
        <v>7</v>
      </c>
      <c r="G15" s="99"/>
      <c r="H15" s="8">
        <v>45968</v>
      </c>
      <c r="I15" s="9" t="s">
        <v>8</v>
      </c>
      <c r="J15" s="59">
        <f>H15+3</f>
        <v>45971</v>
      </c>
      <c r="K15" s="60"/>
      <c r="L15" s="10">
        <f>J40</f>
        <v>75.906183368869918</v>
      </c>
      <c r="M15" s="10">
        <f>J41</f>
        <v>33.454982901477365</v>
      </c>
      <c r="N15" s="10">
        <f>J42</f>
        <v>42.451200467392553</v>
      </c>
      <c r="O15" s="10">
        <f>J45</f>
        <v>20</v>
      </c>
      <c r="P15" t="str">
        <f>H48</f>
        <v>CLAY OF HIGH OF PLASTICITY</v>
      </c>
      <c r="Q15" t="s">
        <v>9</v>
      </c>
      <c r="R15">
        <f>H49</f>
        <v>0</v>
      </c>
    </row>
    <row r="16" spans="2:18" ht="15.6" x14ac:dyDescent="0.3">
      <c r="B16" s="95" t="s">
        <v>10</v>
      </c>
      <c r="C16" s="96"/>
      <c r="D16" s="97"/>
      <c r="E16" s="11" t="s">
        <v>11</v>
      </c>
      <c r="F16" s="98" t="s">
        <v>12</v>
      </c>
      <c r="G16" s="99"/>
      <c r="H16" s="12" t="s">
        <v>13</v>
      </c>
      <c r="I16" s="13" t="s">
        <v>14</v>
      </c>
      <c r="J16" s="100" t="s">
        <v>9</v>
      </c>
      <c r="K16" s="101"/>
      <c r="L16" s="14"/>
      <c r="Q16" s="82" t="s">
        <v>15</v>
      </c>
      <c r="R16" s="82"/>
    </row>
    <row r="17" spans="2:18" x14ac:dyDescent="0.3">
      <c r="B17" s="83"/>
      <c r="C17" s="84"/>
      <c r="D17" s="84"/>
      <c r="E17" s="84"/>
      <c r="F17" s="84"/>
      <c r="G17" s="84"/>
      <c r="H17" s="84"/>
      <c r="I17" s="84"/>
      <c r="J17" s="84"/>
      <c r="K17" s="85"/>
      <c r="L17" s="15">
        <v>16.399999999999999</v>
      </c>
      <c r="M17" s="15">
        <v>18.100000000000001</v>
      </c>
      <c r="N17" s="15">
        <v>20.2</v>
      </c>
      <c r="O17" s="15">
        <v>22.3</v>
      </c>
      <c r="P17" s="16">
        <v>24.1</v>
      </c>
      <c r="Q17" s="15" t="s">
        <v>16</v>
      </c>
      <c r="R17" s="15" t="s">
        <v>17</v>
      </c>
    </row>
    <row r="18" spans="2:18" x14ac:dyDescent="0.3">
      <c r="B18" s="17" t="s">
        <v>18</v>
      </c>
      <c r="C18" s="18"/>
      <c r="D18" s="18"/>
      <c r="E18" s="19" t="str">
        <f t="shared" ref="E18:I19" si="0">M24</f>
        <v>TR</v>
      </c>
      <c r="F18" s="19" t="str">
        <f t="shared" si="0"/>
        <v>DF</v>
      </c>
      <c r="G18" s="19" t="str">
        <f t="shared" si="0"/>
        <v>SD</v>
      </c>
      <c r="H18" s="19" t="str">
        <f t="shared" si="0"/>
        <v>AS</v>
      </c>
      <c r="I18" s="19" t="str">
        <f t="shared" si="0"/>
        <v>SDF</v>
      </c>
      <c r="J18" s="20" t="b">
        <f>E13=Q17</f>
        <v>0</v>
      </c>
      <c r="K18" s="20" t="str">
        <f>R17</f>
        <v>MG</v>
      </c>
      <c r="L18" s="21">
        <v>36.549999999999997</v>
      </c>
      <c r="M18" s="15">
        <v>34.81</v>
      </c>
      <c r="N18" s="15">
        <v>35.32</v>
      </c>
      <c r="O18" s="15">
        <v>31.66</v>
      </c>
      <c r="P18" s="16">
        <v>38.049999999999997</v>
      </c>
      <c r="Q18" s="22">
        <v>7.22</v>
      </c>
      <c r="R18" s="15">
        <v>7.3</v>
      </c>
    </row>
    <row r="19" spans="2:18" x14ac:dyDescent="0.3">
      <c r="B19" s="17" t="s">
        <v>19</v>
      </c>
      <c r="C19" s="18"/>
      <c r="D19" s="18"/>
      <c r="E19" s="23">
        <f t="shared" si="0"/>
        <v>15.77</v>
      </c>
      <c r="F19" s="23">
        <f t="shared" si="0"/>
        <v>17.850000000000001</v>
      </c>
      <c r="G19" s="23">
        <f t="shared" si="0"/>
        <v>20.100000000000001</v>
      </c>
      <c r="H19" s="23">
        <f t="shared" si="0"/>
        <v>21.9</v>
      </c>
      <c r="I19" s="23">
        <f t="shared" si="0"/>
        <v>24.3</v>
      </c>
      <c r="J19" s="19" t="s">
        <v>9</v>
      </c>
      <c r="K19" s="19" t="s">
        <v>9</v>
      </c>
      <c r="L19" s="21">
        <v>26.41</v>
      </c>
      <c r="M19" s="15">
        <v>25.54</v>
      </c>
      <c r="N19" s="15">
        <v>29.36</v>
      </c>
      <c r="O19" s="15">
        <v>25.39</v>
      </c>
      <c r="P19" s="16">
        <v>25.81</v>
      </c>
      <c r="Q19" s="15">
        <v>5.42</v>
      </c>
      <c r="R19" s="15">
        <v>5.46</v>
      </c>
    </row>
    <row r="20" spans="2:18" x14ac:dyDescent="0.3">
      <c r="B20" s="17" t="s">
        <v>20</v>
      </c>
      <c r="C20" s="18"/>
      <c r="D20" s="18"/>
      <c r="E20" s="24">
        <f t="shared" ref="E20:K20" si="1">E21+E23</f>
        <v>12.36</v>
      </c>
      <c r="F20" s="24">
        <f t="shared" si="1"/>
        <v>16.47</v>
      </c>
      <c r="G20" s="24">
        <f t="shared" si="1"/>
        <v>16.5</v>
      </c>
      <c r="H20" s="24">
        <f t="shared" si="1"/>
        <v>14</v>
      </c>
      <c r="I20" s="24">
        <f t="shared" si="1"/>
        <v>56.939354838709676</v>
      </c>
      <c r="J20" s="24">
        <f t="shared" si="1"/>
        <v>14.080332103321034</v>
      </c>
      <c r="K20" s="24">
        <f t="shared" si="1"/>
        <v>14.827289377289375</v>
      </c>
      <c r="L20" s="21">
        <f t="shared" ref="L20:R20" si="2">L18-L19</f>
        <v>10.139999999999997</v>
      </c>
      <c r="M20" s="15">
        <f t="shared" si="2"/>
        <v>9.2700000000000031</v>
      </c>
      <c r="N20" s="15">
        <f t="shared" si="2"/>
        <v>5.9600000000000009</v>
      </c>
      <c r="O20" s="15">
        <f t="shared" si="2"/>
        <v>6.27</v>
      </c>
      <c r="P20" s="16">
        <f t="shared" si="2"/>
        <v>12.239999999999998</v>
      </c>
      <c r="Q20" s="15">
        <f t="shared" si="2"/>
        <v>1.7999999999999998</v>
      </c>
      <c r="R20" s="15">
        <f t="shared" si="2"/>
        <v>1.8399999999999999</v>
      </c>
    </row>
    <row r="21" spans="2:18" x14ac:dyDescent="0.3">
      <c r="B21" s="17" t="s">
        <v>21</v>
      </c>
      <c r="C21" s="18"/>
      <c r="D21" s="18"/>
      <c r="E21" s="19">
        <f t="shared" ref="E21:K21" si="3">E24</f>
        <v>7.2</v>
      </c>
      <c r="F21" s="24">
        <f t="shared" si="3"/>
        <v>9.48</v>
      </c>
      <c r="G21" s="19">
        <f t="shared" si="3"/>
        <v>9.3800000000000008</v>
      </c>
      <c r="H21" s="19">
        <f t="shared" si="3"/>
        <v>7.85</v>
      </c>
      <c r="I21" s="19">
        <f t="shared" si="3"/>
        <v>31.52</v>
      </c>
      <c r="J21" s="19">
        <f t="shared" si="3"/>
        <v>10.57</v>
      </c>
      <c r="K21" s="19">
        <f t="shared" si="3"/>
        <v>11.09</v>
      </c>
      <c r="L21" s="25">
        <f>M29</f>
        <v>71.666666666666657</v>
      </c>
      <c r="M21" s="22">
        <f>N29</f>
        <v>73.73417721518986</v>
      </c>
      <c r="N21" s="22">
        <f>O29</f>
        <v>75.906183368869918</v>
      </c>
      <c r="O21" s="22">
        <f>P29</f>
        <v>78.343949044585997</v>
      </c>
      <c r="P21" s="26">
        <f>Q29</f>
        <v>80.645161290322577</v>
      </c>
      <c r="Q21" s="27">
        <f>Q20/Q19*100</f>
        <v>33.210332103321036</v>
      </c>
      <c r="R21" s="27">
        <f>R20/R19*100</f>
        <v>33.699633699633694</v>
      </c>
    </row>
    <row r="22" spans="2:18" x14ac:dyDescent="0.3">
      <c r="B22" s="17" t="s">
        <v>22</v>
      </c>
      <c r="C22" s="18"/>
      <c r="D22" s="18"/>
      <c r="E22" s="19" t="s">
        <v>9</v>
      </c>
      <c r="F22" s="20" t="s">
        <v>9</v>
      </c>
      <c r="G22" s="20" t="s">
        <v>9</v>
      </c>
      <c r="H22" s="20" t="s">
        <v>9</v>
      </c>
      <c r="I22" s="20" t="s">
        <v>9</v>
      </c>
      <c r="J22" s="24" t="s">
        <v>9</v>
      </c>
      <c r="K22" s="24" t="s">
        <v>9</v>
      </c>
      <c r="M22" s="22">
        <f>M21-L21</f>
        <v>2.0675105485232024</v>
      </c>
      <c r="N22" s="22">
        <f>N21-M21</f>
        <v>2.1720061536800586</v>
      </c>
      <c r="O22" s="22">
        <f>O21-N21</f>
        <v>2.4377656757160793</v>
      </c>
      <c r="P22" s="22">
        <f>P21-O21</f>
        <v>2.3012122457365791</v>
      </c>
      <c r="R22" s="27">
        <f>R21-Q21</f>
        <v>0.48930159631265724</v>
      </c>
    </row>
    <row r="23" spans="2:18" x14ac:dyDescent="0.3">
      <c r="B23" s="86" t="s">
        <v>23</v>
      </c>
      <c r="C23" s="87"/>
      <c r="D23" s="88"/>
      <c r="E23" s="28">
        <f t="shared" ref="E23:K23" si="4">E24*E25/100</f>
        <v>5.16</v>
      </c>
      <c r="F23" s="28">
        <f t="shared" si="4"/>
        <v>6.9899999999999984</v>
      </c>
      <c r="G23" s="28">
        <f t="shared" si="4"/>
        <v>7.1199999999999992</v>
      </c>
      <c r="H23" s="28">
        <f t="shared" si="4"/>
        <v>6.15</v>
      </c>
      <c r="I23" s="28">
        <f t="shared" si="4"/>
        <v>25.41935483870968</v>
      </c>
      <c r="J23" s="28">
        <f t="shared" si="4"/>
        <v>3.5103321033210335</v>
      </c>
      <c r="K23" s="28">
        <f t="shared" si="4"/>
        <v>3.7372893772893763</v>
      </c>
    </row>
    <row r="24" spans="2:18" x14ac:dyDescent="0.3">
      <c r="B24" s="17" t="s">
        <v>24</v>
      </c>
      <c r="C24" s="18"/>
      <c r="D24" s="18"/>
      <c r="E24" s="29">
        <f>M27</f>
        <v>7.2</v>
      </c>
      <c r="F24" s="29">
        <f>N27</f>
        <v>9.48</v>
      </c>
      <c r="G24" s="30">
        <f>O27</f>
        <v>9.3800000000000008</v>
      </c>
      <c r="H24" s="30">
        <f>P27</f>
        <v>7.85</v>
      </c>
      <c r="I24" s="30">
        <v>31.52</v>
      </c>
      <c r="J24" s="29">
        <v>10.57</v>
      </c>
      <c r="K24" s="29">
        <v>11.09</v>
      </c>
      <c r="M24" s="15" t="s">
        <v>25</v>
      </c>
      <c r="N24" s="15" t="s">
        <v>26</v>
      </c>
      <c r="O24" s="15" t="s">
        <v>27</v>
      </c>
      <c r="P24" s="15" t="s">
        <v>28</v>
      </c>
      <c r="Q24" s="15" t="s">
        <v>29</v>
      </c>
    </row>
    <row r="25" spans="2:18" x14ac:dyDescent="0.3">
      <c r="B25" s="17" t="s">
        <v>30</v>
      </c>
      <c r="C25" s="18"/>
      <c r="D25" s="18"/>
      <c r="E25" s="31">
        <f t="shared" ref="E25:K25" si="5">L21</f>
        <v>71.666666666666657</v>
      </c>
      <c r="F25" s="32">
        <f t="shared" si="5"/>
        <v>73.73417721518986</v>
      </c>
      <c r="G25" s="32">
        <f t="shared" si="5"/>
        <v>75.906183368869918</v>
      </c>
      <c r="H25" s="32">
        <f t="shared" si="5"/>
        <v>78.343949044585997</v>
      </c>
      <c r="I25" s="32">
        <f t="shared" si="5"/>
        <v>80.645161290322577</v>
      </c>
      <c r="J25" s="32">
        <f t="shared" si="5"/>
        <v>33.210332103321036</v>
      </c>
      <c r="K25" s="32">
        <f t="shared" si="5"/>
        <v>33.699633699633694</v>
      </c>
      <c r="M25" s="22">
        <v>15.77</v>
      </c>
      <c r="N25" s="22">
        <v>17.850000000000001</v>
      </c>
      <c r="O25" s="22">
        <v>20.100000000000001</v>
      </c>
      <c r="P25" s="27">
        <v>21.9</v>
      </c>
      <c r="Q25" s="27">
        <v>24.3</v>
      </c>
    </row>
    <row r="26" spans="2:18" x14ac:dyDescent="0.3">
      <c r="B26" s="89"/>
      <c r="C26" s="90"/>
      <c r="D26" s="90"/>
      <c r="E26" s="90"/>
      <c r="F26" s="91"/>
      <c r="G26" s="33"/>
      <c r="H26" s="34" t="s">
        <v>15</v>
      </c>
      <c r="I26" s="35"/>
      <c r="J26" s="64">
        <f>AVERAGE(J25:K25)</f>
        <v>33.454982901477365</v>
      </c>
      <c r="K26" s="65"/>
      <c r="M26" s="27">
        <v>12.36</v>
      </c>
      <c r="N26" s="15">
        <v>16.47</v>
      </c>
      <c r="O26" s="15">
        <v>16.5</v>
      </c>
      <c r="P26" s="15">
        <v>14</v>
      </c>
      <c r="Q26" s="15">
        <v>16.8</v>
      </c>
    </row>
    <row r="27" spans="2:18" x14ac:dyDescent="0.3">
      <c r="B27" s="92"/>
      <c r="C27" s="93"/>
      <c r="D27" s="93"/>
      <c r="E27" s="93"/>
      <c r="F27" s="93"/>
      <c r="G27" s="93"/>
      <c r="H27" s="93"/>
      <c r="I27" s="93"/>
      <c r="J27" s="93"/>
      <c r="K27" s="94"/>
      <c r="M27" s="27">
        <v>7.2</v>
      </c>
      <c r="N27" s="15">
        <v>9.48</v>
      </c>
      <c r="O27" s="15">
        <v>9.3800000000000008</v>
      </c>
      <c r="P27" s="15">
        <v>7.85</v>
      </c>
      <c r="Q27" s="15">
        <v>9.3000000000000007</v>
      </c>
    </row>
    <row r="28" spans="2:18" x14ac:dyDescent="0.3">
      <c r="B28" s="36"/>
      <c r="K28" s="37"/>
      <c r="M28" s="15">
        <f>M26-M27</f>
        <v>5.1599999999999993</v>
      </c>
      <c r="N28" s="15">
        <f>N26-N27</f>
        <v>6.9899999999999984</v>
      </c>
      <c r="O28" s="15">
        <f>O26-O27</f>
        <v>7.1199999999999992</v>
      </c>
      <c r="P28" s="15">
        <f>P26-P27</f>
        <v>6.15</v>
      </c>
      <c r="Q28" s="15">
        <f>Q26-Q27</f>
        <v>7.5</v>
      </c>
    </row>
    <row r="29" spans="2:18" x14ac:dyDescent="0.3">
      <c r="B29" s="36"/>
      <c r="K29" s="37"/>
      <c r="M29" s="27">
        <f>M28/M27*100</f>
        <v>71.666666666666657</v>
      </c>
      <c r="N29" s="22">
        <f>N28/N27*100</f>
        <v>73.73417721518986</v>
      </c>
      <c r="O29" s="22">
        <f>O28/O27*100</f>
        <v>75.906183368869918</v>
      </c>
      <c r="P29" s="22">
        <f>P28/P27*100</f>
        <v>78.343949044585997</v>
      </c>
      <c r="Q29" s="22">
        <f>Q28/Q27*100</f>
        <v>80.645161290322577</v>
      </c>
    </row>
    <row r="30" spans="2:18" x14ac:dyDescent="0.3">
      <c r="B30" s="36"/>
      <c r="K30" s="37"/>
      <c r="N30" s="22">
        <f>N29-M29</f>
        <v>2.0675105485232024</v>
      </c>
      <c r="O30" s="22">
        <f>O29-N29</f>
        <v>2.1720061536800586</v>
      </c>
      <c r="P30" s="22">
        <f>P29-O29</f>
        <v>2.4377656757160793</v>
      </c>
      <c r="Q30" s="27">
        <f>Q29-P29</f>
        <v>2.3012122457365791</v>
      </c>
    </row>
    <row r="31" spans="2:18" x14ac:dyDescent="0.3">
      <c r="B31" s="36"/>
      <c r="K31" s="37"/>
    </row>
    <row r="32" spans="2:18" x14ac:dyDescent="0.3">
      <c r="B32" s="36"/>
      <c r="G32" s="75" t="s">
        <v>31</v>
      </c>
      <c r="H32" s="76"/>
      <c r="I32" s="76"/>
      <c r="J32" s="76"/>
      <c r="K32" s="77"/>
    </row>
    <row r="33" spans="2:16" x14ac:dyDescent="0.3">
      <c r="B33" s="36"/>
      <c r="G33" s="61" t="s">
        <v>32</v>
      </c>
      <c r="H33" s="62"/>
      <c r="I33" s="63"/>
      <c r="J33" s="78">
        <v>140</v>
      </c>
      <c r="K33" s="79"/>
    </row>
    <row r="34" spans="2:16" x14ac:dyDescent="0.3">
      <c r="B34" s="36"/>
      <c r="G34" s="61" t="s">
        <v>33</v>
      </c>
      <c r="H34" s="62"/>
      <c r="I34" s="63"/>
      <c r="J34" s="78">
        <v>112</v>
      </c>
      <c r="K34" s="79"/>
    </row>
    <row r="35" spans="2:16" x14ac:dyDescent="0.3">
      <c r="B35" s="36"/>
      <c r="G35" s="66" t="s">
        <v>34</v>
      </c>
      <c r="H35" s="67"/>
      <c r="I35" s="68"/>
      <c r="J35" s="80">
        <f>((J33-J34)/J33)*100</f>
        <v>20</v>
      </c>
      <c r="K35" s="81"/>
    </row>
    <row r="36" spans="2:16" x14ac:dyDescent="0.3">
      <c r="B36" s="36"/>
      <c r="K36" s="38"/>
    </row>
    <row r="37" spans="2:16" x14ac:dyDescent="0.3">
      <c r="B37" s="36"/>
      <c r="K37" s="37"/>
      <c r="M37" s="15" t="s">
        <v>35</v>
      </c>
      <c r="N37" s="27">
        <f>J40-30</f>
        <v>45.906183368869918</v>
      </c>
      <c r="O37" s="15" t="s">
        <v>36</v>
      </c>
      <c r="P37" s="15">
        <f>J42</f>
        <v>42.451200467392553</v>
      </c>
    </row>
    <row r="38" spans="2:16" x14ac:dyDescent="0.3">
      <c r="B38" s="36"/>
      <c r="K38" s="37"/>
      <c r="M38" s="15"/>
      <c r="N38" s="15"/>
      <c r="O38" s="15"/>
      <c r="P38" s="15"/>
    </row>
    <row r="39" spans="2:16" x14ac:dyDescent="0.3">
      <c r="B39" s="36"/>
      <c r="K39" s="37"/>
      <c r="M39" s="15" t="s">
        <v>37</v>
      </c>
      <c r="N39" s="15">
        <f>J40-30</f>
        <v>45.906183368869918</v>
      </c>
      <c r="O39" s="15" t="s">
        <v>38</v>
      </c>
      <c r="P39" s="15">
        <f>J42</f>
        <v>42.451200467392553</v>
      </c>
    </row>
    <row r="40" spans="2:16" x14ac:dyDescent="0.3">
      <c r="B40" s="36"/>
      <c r="G40" s="61" t="s">
        <v>39</v>
      </c>
      <c r="H40" s="62"/>
      <c r="I40" s="63"/>
      <c r="J40" s="73">
        <f>G25</f>
        <v>75.906183368869918</v>
      </c>
      <c r="K40" s="74"/>
      <c r="M40" s="15"/>
      <c r="N40" s="15"/>
      <c r="O40" s="15"/>
      <c r="P40" s="15"/>
    </row>
    <row r="41" spans="2:16" x14ac:dyDescent="0.3">
      <c r="B41" s="36"/>
      <c r="G41" s="61" t="s">
        <v>40</v>
      </c>
      <c r="H41" s="62"/>
      <c r="I41" s="63"/>
      <c r="J41" s="73">
        <f>J26</f>
        <v>33.454982901477365</v>
      </c>
      <c r="K41" s="74"/>
      <c r="M41" s="27">
        <f>J41-J42</f>
        <v>-8.9962175659151882</v>
      </c>
      <c r="N41" s="15"/>
      <c r="O41" s="15"/>
      <c r="P41" s="15"/>
    </row>
    <row r="42" spans="2:16" x14ac:dyDescent="0.3">
      <c r="B42" s="36"/>
      <c r="G42" s="61" t="s">
        <v>41</v>
      </c>
      <c r="H42" s="62"/>
      <c r="I42" s="63"/>
      <c r="J42" s="73">
        <f>J40-J41</f>
        <v>42.451200467392553</v>
      </c>
      <c r="K42" s="74"/>
      <c r="M42" s="15"/>
      <c r="N42" s="15"/>
      <c r="O42" s="15"/>
      <c r="P42" s="15"/>
    </row>
    <row r="43" spans="2:16" x14ac:dyDescent="0.3">
      <c r="B43" s="36"/>
      <c r="G43" s="61" t="s">
        <v>42</v>
      </c>
      <c r="H43" s="62"/>
      <c r="I43" s="63"/>
      <c r="J43" s="64">
        <v>88.6</v>
      </c>
      <c r="K43" s="65"/>
      <c r="M43" s="15"/>
      <c r="N43" s="15"/>
      <c r="O43" s="15"/>
      <c r="P43" s="15"/>
    </row>
    <row r="44" spans="2:16" x14ac:dyDescent="0.3">
      <c r="B44" s="36"/>
      <c r="G44" s="66" t="s">
        <v>43</v>
      </c>
      <c r="H44" s="67"/>
      <c r="I44" s="68"/>
      <c r="J44" s="69">
        <f>J42*J43</f>
        <v>3761.17636141098</v>
      </c>
      <c r="K44" s="70"/>
      <c r="M44" s="39">
        <f>J35*2.13</f>
        <v>42.599999999999994</v>
      </c>
      <c r="N44" s="40">
        <f>M44-J42</f>
        <v>0.14879953260744117</v>
      </c>
      <c r="O44" s="15"/>
      <c r="P44" s="15"/>
    </row>
    <row r="45" spans="2:16" x14ac:dyDescent="0.3">
      <c r="B45" s="36"/>
      <c r="G45" s="66" t="s">
        <v>44</v>
      </c>
      <c r="H45" s="67"/>
      <c r="I45" s="68"/>
      <c r="J45" s="71">
        <f>J35</f>
        <v>20</v>
      </c>
      <c r="K45" s="72"/>
    </row>
    <row r="46" spans="2:16" x14ac:dyDescent="0.3">
      <c r="B46" s="36"/>
      <c r="G46" s="36"/>
      <c r="K46" s="37"/>
    </row>
    <row r="47" spans="2:16" x14ac:dyDescent="0.3">
      <c r="B47" s="36"/>
      <c r="G47" s="52" t="s">
        <v>45</v>
      </c>
      <c r="H47" s="53"/>
      <c r="I47" s="53"/>
      <c r="J47" s="53"/>
      <c r="K47" s="54"/>
    </row>
    <row r="48" spans="2:16" x14ac:dyDescent="0.3">
      <c r="B48" s="36"/>
      <c r="G48" s="41" t="s">
        <v>46</v>
      </c>
      <c r="H48" s="55" t="str">
        <f>IF(K48="ML", "SILT OF LOW OF PLASTICITY", IF(K48="MH", "SILT OF HIGH OF PLASTICITY", IF(K48="CL-ML", "SILTY CLAY OF LOW OF PLASTICITY", IF(K48="CL", "CLAY OF LOW OF PLASTICITY", IF(K48="CH", "CLAY OF HIGH OF PLASTICITY", "")))))</f>
        <v>CLAY OF HIGH OF PLASTICITY</v>
      </c>
      <c r="I48" s="56"/>
      <c r="J48" s="57"/>
      <c r="K48" s="42" t="str">
        <f>IF(J41&lt;4, IF(J40&lt;50, "ML", "MH"), IF(AND(J41&gt;=4, J41&lt;7), IF(J40&lt;50, "CL-ML", ""), IF(J41&gt;=7, IF(J40&lt;50, "CL", "CH"), "")))</f>
        <v>CH</v>
      </c>
    </row>
    <row r="49" spans="2:11" x14ac:dyDescent="0.3">
      <c r="B49" s="36"/>
      <c r="G49" s="43" t="s">
        <v>47</v>
      </c>
      <c r="H49" s="55"/>
      <c r="I49" s="56"/>
      <c r="J49" s="56"/>
      <c r="K49" s="57"/>
    </row>
    <row r="50" spans="2:11" x14ac:dyDescent="0.3">
      <c r="B50" s="44"/>
      <c r="C50" s="45"/>
      <c r="D50" s="45"/>
      <c r="E50" s="45"/>
      <c r="F50" s="45"/>
      <c r="G50" s="45"/>
      <c r="H50" s="45"/>
      <c r="I50" s="45"/>
      <c r="J50" s="45"/>
      <c r="K50" s="38"/>
    </row>
    <row r="51" spans="2:11" x14ac:dyDescent="0.3">
      <c r="B51" s="36"/>
      <c r="K51" s="37"/>
    </row>
    <row r="52" spans="2:11" x14ac:dyDescent="0.3">
      <c r="B52" s="36"/>
      <c r="K52" s="37"/>
    </row>
    <row r="53" spans="2:11" x14ac:dyDescent="0.3">
      <c r="B53" s="46" t="s">
        <v>48</v>
      </c>
      <c r="C53" s="58" t="s">
        <v>49</v>
      </c>
      <c r="D53" s="58"/>
      <c r="E53" s="50" t="s">
        <v>50</v>
      </c>
      <c r="F53" s="50"/>
      <c r="G53" s="59">
        <f>J15+2</f>
        <v>45973</v>
      </c>
      <c r="H53" s="60"/>
      <c r="I53" s="50" t="s">
        <v>51</v>
      </c>
      <c r="J53" s="50"/>
      <c r="K53" s="51"/>
    </row>
    <row r="54" spans="2:11" x14ac:dyDescent="0.3">
      <c r="B54" s="36"/>
      <c r="I54" s="50"/>
      <c r="J54" s="50"/>
      <c r="K54" s="51"/>
    </row>
    <row r="55" spans="2:11" x14ac:dyDescent="0.3">
      <c r="B55" s="47"/>
      <c r="C55" s="48"/>
      <c r="D55" s="48"/>
      <c r="E55" s="48"/>
      <c r="F55" s="48"/>
      <c r="G55" s="48"/>
      <c r="H55" s="48"/>
      <c r="I55" s="48"/>
      <c r="J55" s="48"/>
      <c r="K55" s="49"/>
    </row>
  </sheetData>
  <mergeCells count="45">
    <mergeCell ref="C3:H3"/>
    <mergeCell ref="B10:K10"/>
    <mergeCell ref="B13:D13"/>
    <mergeCell ref="E13:K13"/>
    <mergeCell ref="B14:D14"/>
    <mergeCell ref="E14:K14"/>
    <mergeCell ref="B15:D15"/>
    <mergeCell ref="F15:G15"/>
    <mergeCell ref="J15:K15"/>
    <mergeCell ref="B16:D16"/>
    <mergeCell ref="F16:G16"/>
    <mergeCell ref="J16:K16"/>
    <mergeCell ref="G35:I35"/>
    <mergeCell ref="J35:K35"/>
    <mergeCell ref="Q16:R16"/>
    <mergeCell ref="B17:K17"/>
    <mergeCell ref="B23:D23"/>
    <mergeCell ref="B26:F26"/>
    <mergeCell ref="J26:K26"/>
    <mergeCell ref="B27:K27"/>
    <mergeCell ref="G32:K32"/>
    <mergeCell ref="G33:I33"/>
    <mergeCell ref="J33:K33"/>
    <mergeCell ref="G34:I34"/>
    <mergeCell ref="J34:K34"/>
    <mergeCell ref="G40:I40"/>
    <mergeCell ref="J40:K40"/>
    <mergeCell ref="G41:I41"/>
    <mergeCell ref="J41:K41"/>
    <mergeCell ref="G42:I42"/>
    <mergeCell ref="J42:K42"/>
    <mergeCell ref="G43:I43"/>
    <mergeCell ref="J43:K43"/>
    <mergeCell ref="G44:I44"/>
    <mergeCell ref="J44:K44"/>
    <mergeCell ref="G45:I45"/>
    <mergeCell ref="J45:K45"/>
    <mergeCell ref="I54:K54"/>
    <mergeCell ref="G47:K47"/>
    <mergeCell ref="H48:J48"/>
    <mergeCell ref="H49:K49"/>
    <mergeCell ref="C53:D53"/>
    <mergeCell ref="E53:F53"/>
    <mergeCell ref="G53:H53"/>
    <mergeCell ref="I53:K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2026-04-03T04:39:10Z</dcterms:created>
  <dcterms:modified xsi:type="dcterms:W3CDTF">2026-04-07T05:11:22Z</dcterms:modified>
</cp:coreProperties>
</file>